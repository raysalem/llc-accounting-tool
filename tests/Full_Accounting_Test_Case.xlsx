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tup" state="visible" r:id="rId4"/>
    <sheet sheetId="4" name="Ledger" state="visible" r:id="rId5"/>
    <sheet sheetId="5" name="Summary" state="visible" r:id="rId6"/>
    <sheet sheetId="6" name="VERSION" state="visible" r:id="rId7"/>
    <sheet sheetId="2" name="Bank Transactions" state="visible" r:id="rId8"/>
    <sheet sheetId="3" name="Credit Card Transactions" state="visible" r:id="rId9"/>
  </sheets>
  <calcPr calcId="171027"/>
</workbook>
</file>

<file path=xl/sharedStrings.xml><?xml version="1.0" encoding="utf-8"?>
<sst xmlns="http://schemas.openxmlformats.org/spreadsheetml/2006/main" count="177" uniqueCount="86">
  <si>
    <t>Category</t>
  </si>
  <si>
    <t>Sub-Category</t>
  </si>
  <si>
    <t>Type</t>
  </si>
  <si>
    <t>Report</t>
  </si>
  <si>
    <t/>
  </si>
  <si>
    <t>Vendors</t>
  </si>
  <si>
    <t>Customers</t>
  </si>
  <si>
    <t>Sheet Name (Config)</t>
  </si>
  <si>
    <t>Sheet Type</t>
  </si>
  <si>
    <t>Flip Polarity? (Yes/No)</t>
  </si>
  <si>
    <t>Header Row</t>
  </si>
  <si>
    <t>End Balance</t>
  </si>
  <si>
    <t>1099 Type</t>
  </si>
  <si>
    <t>Sales</t>
  </si>
  <si>
    <t>General</t>
  </si>
  <si>
    <t>Income</t>
  </si>
  <si>
    <t>P&amp;L</t>
  </si>
  <si>
    <t>Starbucks</t>
  </si>
  <si>
    <t>Rent</t>
  </si>
  <si>
    <t>Office</t>
  </si>
  <si>
    <t>Expense</t>
  </si>
  <si>
    <t>Amazon</t>
  </si>
  <si>
    <t>Checking Account</t>
  </si>
  <si>
    <t>Bank</t>
  </si>
  <si>
    <t>Asset</t>
  </si>
  <si>
    <t>Balance Sheet</t>
  </si>
  <si>
    <t>AWS</t>
  </si>
  <si>
    <t>Bank Transactions</t>
  </si>
  <si>
    <t>No</t>
  </si>
  <si>
    <t>Credit Card</t>
  </si>
  <si>
    <t>CC</t>
  </si>
  <si>
    <t>Liability</t>
  </si>
  <si>
    <t>Credit Card Transactions</t>
  </si>
  <si>
    <t>Yes</t>
  </si>
  <si>
    <t>AX CC</t>
  </si>
  <si>
    <t>Travel</t>
  </si>
  <si>
    <t>Services</t>
  </si>
  <si>
    <t>Owner Equity</t>
  </si>
  <si>
    <t>Capital</t>
  </si>
  <si>
    <t>Equity</t>
  </si>
  <si>
    <t>Contractor 1099</t>
  </si>
  <si>
    <t>NEC</t>
  </si>
  <si>
    <t>Date</t>
  </si>
  <si>
    <t>Description</t>
  </si>
  <si>
    <t>Debit</t>
  </si>
  <si>
    <t>Credit</t>
  </si>
  <si>
    <t>Type (Auto)</t>
  </si>
  <si>
    <t>Owner Investment</t>
  </si>
  <si>
    <t>Audit Adjustment</t>
  </si>
  <si>
    <t>Property</t>
  </si>
  <si>
    <t>Value</t>
  </si>
  <si>
    <t>Version ID</t>
  </si>
  <si>
    <t>3.0.142</t>
  </si>
  <si>
    <t>Git SHA</t>
  </si>
  <si>
    <t>08f61282a92ff4007f08418c5e623f1acc0b7708</t>
  </si>
  <si>
    <t>Generated At</t>
  </si>
  <si>
    <t>10/29/2026, 8:59:58 AM</t>
  </si>
  <si>
    <t>--- Import History ---</t>
  </si>
  <si>
    <t>Import at 10/29/2026, 8:59:58 AM</t>
  </si>
  <si>
    <t xml:space="preserve">Command: node load_transactions.js tests/example_bank.csv bank C:\Users\raysa\AppData\Local\Temp\llc-test-ysTJwN\Test_Accounting.xlsx --clear
Input: tests/example_bank.csv
Target Sheet: Bank Transactions</t>
  </si>
  <si>
    <t>Import at 10/29/2026, 8:59:59 AM</t>
  </si>
  <si>
    <t xml:space="preserve">Command: node load_transactions.js tests/example_cc.csv cc C:\Users\raysa\AppData\Local\Temp\llc-test-ysTJwN\Test_Accounting.xlsx --clear
Input: tests/example_cc.csv
Target Sheet: Credit Card Transactions</t>
  </si>
  <si>
    <t>TOTAL</t>
  </si>
  <si>
    <t>SUBTOTAL (Filtered)</t>
  </si>
  <si>
    <t>Amount</t>
  </si>
  <si>
    <t>Extended Details</t>
  </si>
  <si>
    <t>Vendor</t>
  </si>
  <si>
    <t>Customer</t>
  </si>
  <si>
    <t>Report Type (Auto)</t>
  </si>
  <si>
    <t>Salary Deposit</t>
  </si>
  <si>
    <t>January Paycheck</t>
  </si>
  <si>
    <t>Office Rent</t>
  </si>
  <si>
    <t>Monthly Rent</t>
  </si>
  <si>
    <t>Client A Payment</t>
  </si>
  <si>
    <t>Consulting Services</t>
  </si>
  <si>
    <t>Major Contract Work</t>
  </si>
  <si>
    <t>Mystery Corp</t>
  </si>
  <si>
    <t>IllegalCat</t>
  </si>
  <si>
    <t>UnknownVendor</t>
  </si>
  <si>
    <t>Uncategorized Expense</t>
  </si>
  <si>
    <t>Member</t>
  </si>
  <si>
    <t>Account Number</t>
  </si>
  <si>
    <t>Receipt</t>
  </si>
  <si>
    <t>Coffee</t>
  </si>
  <si>
    <t>Office Supplies</t>
  </si>
  <si>
    <t>Cloud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</si>
</sst>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i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2.xml"/><Relationship Id="rId9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FormatPr defaultRowHeight="15" outlineLevelRow="0" outlineLevelCol="0" x14ac:dyDescent="55"/>
  <cols>
    <col min="1" max="2" width="25" customWidth="1"/>
    <col min="3" max="4" width="15" customWidth="1"/>
    <col min="5" max="5" width="5" customWidth="1"/>
    <col min="6" max="7" width="25" customWidth="1"/>
    <col min="8" max="8" width="5" customWidth="1"/>
    <col min="9" max="9" width="30" customWidth="1"/>
    <col min="10" max="10" width="15" customWidth="1"/>
    <col min="11" max="11" width="20" customWidth="1"/>
    <col min="12" max="13" width="1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6" x14ac:dyDescent="0.25">
      <c r="A2" t="s">
        <v>13</v>
      </c>
      <c r="B2" t="s">
        <v>14</v>
      </c>
      <c r="C2" t="s">
        <v>15</v>
      </c>
      <c r="D2" t="s">
        <v>16</v>
      </c>
      <c r="F2" t="s">
        <v>17</v>
      </c>
    </row>
    <row r="3" spans="1:6" x14ac:dyDescent="0.25">
      <c r="A3" t="s">
        <v>18</v>
      </c>
      <c r="B3" t="s">
        <v>19</v>
      </c>
      <c r="C3" t="s">
        <v>20</v>
      </c>
      <c r="D3" t="s">
        <v>16</v>
      </c>
      <c r="F3" t="s">
        <v>21</v>
      </c>
    </row>
    <row r="4" spans="1:13" x14ac:dyDescent="0.25">
      <c r="A4" t="s">
        <v>22</v>
      </c>
      <c r="B4" t="s">
        <v>23</v>
      </c>
      <c r="C4" t="s">
        <v>24</v>
      </c>
      <c r="D4" t="s">
        <v>25</v>
      </c>
      <c r="F4" t="s">
        <v>26</v>
      </c>
      <c r="I4" t="s">
        <v>27</v>
      </c>
      <c r="J4" t="s">
        <v>23</v>
      </c>
      <c r="K4" t="s">
        <v>28</v>
      </c>
      <c r="L4">
        <v>3</v>
      </c>
      <c r="M4">
        <v>6362.5</v>
      </c>
    </row>
    <row r="5" spans="1:13" x14ac:dyDescent="0.25">
      <c r="A5" t="s">
        <v>29</v>
      </c>
      <c r="B5" t="s">
        <v>30</v>
      </c>
      <c r="C5" t="s">
        <v>31</v>
      </c>
      <c r="D5" t="s">
        <v>25</v>
      </c>
      <c r="I5" t="s">
        <v>32</v>
      </c>
      <c r="J5" t="s">
        <v>30</v>
      </c>
      <c r="K5" t="s">
        <v>33</v>
      </c>
      <c r="L5">
        <v>3</v>
      </c>
      <c r="M5">
        <v>180.5</v>
      </c>
    </row>
    <row r="6" spans="1:4" x14ac:dyDescent="0.25">
      <c r="A6" t="s">
        <v>34</v>
      </c>
      <c r="B6" t="s">
        <v>31</v>
      </c>
      <c r="C6" t="s">
        <v>31</v>
      </c>
      <c r="D6" t="s">
        <v>25</v>
      </c>
    </row>
    <row r="7" spans="1:4" x14ac:dyDescent="0.25">
      <c r="A7" t="s">
        <v>35</v>
      </c>
      <c r="B7" t="s">
        <v>14</v>
      </c>
      <c r="C7" t="s">
        <v>20</v>
      </c>
      <c r="D7" t="s">
        <v>16</v>
      </c>
    </row>
    <row r="8" spans="1:4" x14ac:dyDescent="0.25">
      <c r="A8" t="s">
        <v>19</v>
      </c>
      <c r="B8" t="s">
        <v>14</v>
      </c>
      <c r="C8" t="s">
        <v>20</v>
      </c>
      <c r="D8" t="s">
        <v>16</v>
      </c>
    </row>
    <row r="9" spans="1:4" x14ac:dyDescent="0.25">
      <c r="A9" t="s">
        <v>36</v>
      </c>
      <c r="B9" t="s">
        <v>14</v>
      </c>
      <c r="C9" t="s">
        <v>20</v>
      </c>
      <c r="D9" t="s">
        <v>16</v>
      </c>
    </row>
    <row r="10" spans="1:4" x14ac:dyDescent="0.25">
      <c r="A10" t="s">
        <v>37</v>
      </c>
      <c r="B10" t="s">
        <v>38</v>
      </c>
      <c r="C10" t="s">
        <v>39</v>
      </c>
      <c r="D10" t="s">
        <v>25</v>
      </c>
    </row>
    <row r="11" spans="6:14" x14ac:dyDescent="0.25">
      <c r="F11" t="s">
        <v>40</v>
      </c>
      <c r="N11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cols>
    <col min="1" max="1" width="12" customWidth="1"/>
    <col min="2" max="2" width="35" customWidth="1"/>
    <col min="3" max="3" width="15" customWidth="1"/>
    <col min="4" max="5" width="20" customWidth="1"/>
    <col min="6" max="6" width="30" customWidth="1"/>
    <col min="7" max="8" width="20" customWidth="1"/>
    <col min="9" max="9" width="15" customWidth="1"/>
  </cols>
  <sheetData>
    <row r="1" spans="1:3" x14ac:dyDescent="0.25">
      <c r="A1" s="3" t="s">
        <v>62</v>
      </c>
      <c r="C1" s="3">
        <f>SUM(C4:C10000)</f>
      </c>
    </row>
    <row r="2" spans="1:3" x14ac:dyDescent="0.25">
      <c r="A2" s="4" t="s">
        <v>63</v>
      </c>
      <c r="C2" s="4">
        <f>SUBTOTAL(109, C4:C10000)</f>
      </c>
    </row>
    <row r="3" spans="1:9" s="5" customFormat="1" x14ac:dyDescent="0.25">
      <c r="A3" s="5" t="s">
        <v>42</v>
      </c>
      <c r="B3" s="5" t="s">
        <v>43</v>
      </c>
      <c r="C3" s="5" t="s">
        <v>64</v>
      </c>
      <c r="D3" s="5" t="s">
        <v>0</v>
      </c>
      <c r="E3" s="5" t="s">
        <v>1</v>
      </c>
      <c r="F3" s="5" t="s">
        <v>65</v>
      </c>
      <c r="G3" s="5" t="s">
        <v>66</v>
      </c>
      <c r="H3" s="5" t="s">
        <v>67</v>
      </c>
      <c r="I3" s="5" t="s">
        <v>68</v>
      </c>
    </row>
    <row r="4" spans="1:9" x14ac:dyDescent="0.25">
      <c r="A4" s="1">
        <v>45658</v>
      </c>
      <c r="B4" t="s">
        <v>69</v>
      </c>
      <c r="C4">
        <v>5000</v>
      </c>
      <c r="D4" t="s">
        <v>13</v>
      </c>
      <c r="E4" t="s">
        <v>4</v>
      </c>
      <c r="F4" t="s">
        <v>70</v>
      </c>
      <c r="G4" t="s">
        <v>4</v>
      </c>
      <c r="H4" t="s">
        <v>4</v>
      </c>
      <c r="I4">
        <f>IFERROR(VLOOKUP(D4,Setup!A:D,4,FALSE), "")</f>
      </c>
    </row>
    <row r="5" spans="1:9" x14ac:dyDescent="0.25">
      <c r="A5" s="1">
        <v>45662</v>
      </c>
      <c r="B5" t="s">
        <v>71</v>
      </c>
      <c r="C5">
        <v>-1500</v>
      </c>
      <c r="D5" t="s">
        <v>18</v>
      </c>
      <c r="E5" t="s">
        <v>4</v>
      </c>
      <c r="F5" t="s">
        <v>72</v>
      </c>
      <c r="G5" t="s">
        <v>4</v>
      </c>
      <c r="H5" t="s">
        <v>4</v>
      </c>
      <c r="I5">
        <f>IFERROR(VLOOKUP(D5,Setup!A:D,4,FALSE), "")</f>
      </c>
    </row>
    <row r="6" spans="1:9" x14ac:dyDescent="0.25">
      <c r="A6" s="1">
        <v>45667</v>
      </c>
      <c r="B6" t="s">
        <v>73</v>
      </c>
      <c r="C6">
        <v>2500</v>
      </c>
      <c r="D6" t="s">
        <v>13</v>
      </c>
      <c r="E6" t="s">
        <v>4</v>
      </c>
      <c r="F6" t="s">
        <v>74</v>
      </c>
      <c r="G6" t="s">
        <v>4</v>
      </c>
      <c r="H6" t="s">
        <v>4</v>
      </c>
      <c r="I6">
        <f>IFERROR(VLOOKUP(D6,Setup!A:D,4,FALSE), "")</f>
      </c>
    </row>
    <row r="7" spans="1:8" x14ac:dyDescent="0.25">
      <c r="A7" s="1">
        <v>45684</v>
      </c>
      <c r="B7" t="s">
        <v>75</v>
      </c>
      <c r="C7">
        <v>-737.5</v>
      </c>
      <c r="D7" t="s">
        <v>36</v>
      </c>
      <c r="E7" t="s">
        <v>4</v>
      </c>
      <c r="F7" t="s">
        <v>4</v>
      </c>
      <c r="G7" t="s">
        <v>40</v>
      </c>
      <c r="H7" t="s">
        <v>4</v>
      </c>
    </row>
    <row r="8" spans="1:8" x14ac:dyDescent="0.25">
      <c r="A8" s="1">
        <v>45682</v>
      </c>
      <c r="B8" t="s">
        <v>76</v>
      </c>
      <c r="C8">
        <v>100</v>
      </c>
      <c r="D8" t="s">
        <v>77</v>
      </c>
      <c r="E8" t="s">
        <v>4</v>
      </c>
      <c r="F8" t="s">
        <v>4</v>
      </c>
      <c r="G8" t="s">
        <v>78</v>
      </c>
      <c r="H8" t="s">
        <v>4</v>
      </c>
    </row>
    <row r="9" spans="1:8" x14ac:dyDescent="0.25">
      <c r="A9" s="1">
        <v>45683</v>
      </c>
      <c r="B9" t="s">
        <v>79</v>
      </c>
      <c r="C9">
        <v>50</v>
      </c>
      <c r="D9" t="s">
        <v>4</v>
      </c>
      <c r="E9" t="s">
        <v>4</v>
      </c>
      <c r="F9" t="s">
        <v>4</v>
      </c>
      <c r="G9" t="s">
        <v>4</v>
      </c>
      <c r="H9" t="s">
        <v>4</v>
      </c>
    </row>
  </sheetData>
  <autoFilter ref="A3:I6"/>
  <dataValidations count="4">
    <dataValidation type="list" allowBlank="1" sqref="D4:D6">
      <formula1>Setup!$A$2:$A$100</formula1>
    </dataValidation>
    <dataValidation type="list" allowBlank="1" sqref="E4:E6">
      <formula1>Setup!$B$2:$B$100</formula1>
    </dataValidation>
    <dataValidation type="list" allowBlank="1" sqref="G4:G6">
      <formula1>Setup!$F$2:$F$100</formula1>
    </dataValidation>
    <dataValidation type="list" allowBlank="1" sqref="H4:H6">
      <formula1>Setup!$G$2:$G$100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FormatPr defaultRowHeight="15" outlineLevelRow="0" outlineLevelCol="0" x14ac:dyDescent="55"/>
  <cols>
    <col min="1" max="1" width="12" customWidth="1"/>
    <col min="2" max="2" width="15" customWidth="1"/>
    <col min="3" max="3" width="35" customWidth="1"/>
    <col min="4" max="4" width="15" customWidth="1"/>
    <col min="5" max="6" width="20" customWidth="1"/>
    <col min="7" max="7" width="30" customWidth="1"/>
    <col min="8" max="10" width="20" customWidth="1"/>
    <col min="11" max="11" width="10" customWidth="1"/>
    <col min="12" max="12" width="15" customWidth="1"/>
  </cols>
  <sheetData>
    <row r="1" spans="1:4" x14ac:dyDescent="0.25">
      <c r="A1" s="3" t="s">
        <v>62</v>
      </c>
      <c r="D1" s="3">
        <f>SUM(D4:D10000)</f>
      </c>
    </row>
    <row r="2" spans="1:4" x14ac:dyDescent="0.25">
      <c r="A2" s="4" t="s">
        <v>63</v>
      </c>
      <c r="D2" s="4">
        <f>SUBTOTAL(109, D4:D10000)</f>
      </c>
    </row>
    <row r="3" spans="1:12" s="5" customFormat="1" x14ac:dyDescent="0.25">
      <c r="A3" s="5" t="s">
        <v>42</v>
      </c>
      <c r="B3" s="5" t="s">
        <v>80</v>
      </c>
      <c r="C3" s="5" t="s">
        <v>43</v>
      </c>
      <c r="D3" s="5" t="s">
        <v>64</v>
      </c>
      <c r="E3" s="5" t="s">
        <v>0</v>
      </c>
      <c r="F3" s="5" t="s">
        <v>1</v>
      </c>
      <c r="G3" s="5" t="s">
        <v>65</v>
      </c>
      <c r="H3" s="5" t="s">
        <v>66</v>
      </c>
      <c r="I3" s="5" t="s">
        <v>67</v>
      </c>
      <c r="J3" s="5" t="s">
        <v>81</v>
      </c>
      <c r="K3" s="5" t="s">
        <v>82</v>
      </c>
      <c r="L3" s="5" t="s">
        <v>68</v>
      </c>
    </row>
    <row r="4" spans="1:12" x14ac:dyDescent="0.25">
      <c r="A4" s="1">
        <v>45659</v>
      </c>
      <c r="B4" t="s">
        <v>4</v>
      </c>
      <c r="C4" t="s">
        <v>17</v>
      </c>
      <c r="D4">
        <v>15.5</v>
      </c>
      <c r="E4" t="s">
        <v>35</v>
      </c>
      <c r="F4" t="s">
        <v>4</v>
      </c>
      <c r="G4" t="s">
        <v>83</v>
      </c>
      <c r="H4" t="s">
        <v>4</v>
      </c>
      <c r="I4" t="s">
        <v>4</v>
      </c>
      <c r="J4" t="s">
        <v>4</v>
      </c>
      <c r="K4" t="s">
        <v>4</v>
      </c>
      <c r="L4">
        <f>IFERROR(VLOOKUP(E4,Setup!A:D,4,FALSE), "")</f>
      </c>
    </row>
    <row r="5" spans="1:12" x14ac:dyDescent="0.25">
      <c r="A5" s="1">
        <v>45663</v>
      </c>
      <c r="B5" t="s">
        <v>4</v>
      </c>
      <c r="C5" t="s">
        <v>21</v>
      </c>
      <c r="D5">
        <v>120</v>
      </c>
      <c r="E5" t="s">
        <v>19</v>
      </c>
      <c r="F5" t="s">
        <v>4</v>
      </c>
      <c r="G5" t="s">
        <v>84</v>
      </c>
      <c r="H5" t="s">
        <v>4</v>
      </c>
      <c r="I5" t="s">
        <v>4</v>
      </c>
      <c r="J5" t="s">
        <v>4</v>
      </c>
      <c r="K5" t="s">
        <v>4</v>
      </c>
      <c r="L5">
        <f>IFERROR(VLOOKUP(E5,Setup!A:D,4,FALSE), "")</f>
      </c>
    </row>
    <row r="6" spans="1:12" x14ac:dyDescent="0.25">
      <c r="A6" s="1">
        <v>45669</v>
      </c>
      <c r="B6" t="s">
        <v>4</v>
      </c>
      <c r="C6" t="s">
        <v>26</v>
      </c>
      <c r="D6">
        <v>45</v>
      </c>
      <c r="E6" t="s">
        <v>19</v>
      </c>
      <c r="F6" t="s">
        <v>4</v>
      </c>
      <c r="G6" t="s">
        <v>85</v>
      </c>
      <c r="H6" t="s">
        <v>4</v>
      </c>
      <c r="I6" t="s">
        <v>4</v>
      </c>
      <c r="J6" t="s">
        <v>4</v>
      </c>
      <c r="K6" t="s">
        <v>4</v>
      </c>
      <c r="L6">
        <f>IFERROR(VLOOKUP(E6,Setup!A:D,4,FALSE), "")</f>
      </c>
    </row>
  </sheetData>
  <autoFilter ref="A3:L6"/>
  <dataValidations count="4">
    <dataValidation type="list" allowBlank="1" sqref="E4:E6">
      <formula1>Setup!$A$2:$A$100</formula1>
    </dataValidation>
    <dataValidation type="list" allowBlank="1" sqref="F4:F6">
      <formula1>Setup!$B$2:$B$100</formula1>
    </dataValidation>
    <dataValidation type="list" allowBlank="1" sqref="H4:H6">
      <formula1>Setup!$F$2:$F$100</formula1>
    </dataValidation>
    <dataValidation type="list" allowBlank="1" sqref="I4:I6">
      <formula1>Setup!$G$2:$G$100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12" customWidth="1"/>
    <col min="2" max="2" width="30" customWidth="1"/>
    <col min="3" max="3" width="20" customWidth="1"/>
    <col min="4" max="6" width="15" customWidth="1"/>
  </cols>
  <sheetData>
    <row r="1" spans="1:6" x14ac:dyDescent="0.25">
      <c r="A1" t="s">
        <v>42</v>
      </c>
      <c r="B1" t="s">
        <v>43</v>
      </c>
      <c r="C1" t="s">
        <v>0</v>
      </c>
      <c r="D1" t="s">
        <v>44</v>
      </c>
      <c r="E1" t="s">
        <v>45</v>
      </c>
      <c r="F1" t="s">
        <v>46</v>
      </c>
    </row>
    <row r="2" spans="1:5" x14ac:dyDescent="0.25">
      <c r="A2" s="1">
        <v>45658</v>
      </c>
      <c r="B2" t="s">
        <v>47</v>
      </c>
      <c r="C2" t="s">
        <v>22</v>
      </c>
      <c r="D2">
        <v>1000</v>
      </c>
      <c r="E2">
        <v>0</v>
      </c>
    </row>
    <row r="3" spans="1:5" x14ac:dyDescent="0.25">
      <c r="A3" s="1">
        <v>45658</v>
      </c>
      <c r="B3" t="s">
        <v>47</v>
      </c>
      <c r="C3" t="s">
        <v>37</v>
      </c>
      <c r="D3">
        <v>0</v>
      </c>
      <c r="E3">
        <v>1000</v>
      </c>
    </row>
    <row r="4" spans="1:5" x14ac:dyDescent="0.25">
      <c r="A4" s="1">
        <v>45677</v>
      </c>
      <c r="B4" t="s">
        <v>48</v>
      </c>
      <c r="C4" t="s">
        <v>19</v>
      </c>
      <c r="D4">
        <v>50</v>
      </c>
      <c r="E4">
        <v>0</v>
      </c>
    </row>
    <row r="5" spans="1:5" x14ac:dyDescent="0.25">
      <c r="A5" s="1">
        <v>45677</v>
      </c>
      <c r="B5" t="s">
        <v>48</v>
      </c>
      <c r="C5" t="s">
        <v>22</v>
      </c>
      <c r="D5">
        <v>0</v>
      </c>
      <c r="E5">
        <v>50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0" customWidth="1"/>
    <col min="2" max="2" width="50" customWidth="1"/>
  </cols>
  <sheetData>
    <row r="1" spans="1:2" x14ac:dyDescent="0.25">
      <c r="A1" t="s">
        <v>49</v>
      </c>
      <c r="B1" t="s">
        <v>50</v>
      </c>
    </row>
    <row r="2" spans="1:2" x14ac:dyDescent="0.25">
      <c r="A2" t="s">
        <v>51</v>
      </c>
      <c r="B2" t="s">
        <v>52</v>
      </c>
    </row>
    <row r="3" spans="1:2" x14ac:dyDescent="0.25">
      <c r="A3" t="s">
        <v>53</v>
      </c>
      <c r="B3" t="s">
        <v>54</v>
      </c>
    </row>
    <row r="4" spans="1:2" x14ac:dyDescent="0.25">
      <c r="A4" t="s">
        <v>55</v>
      </c>
      <c r="B4" t="s">
        <v>56</v>
      </c>
    </row>
    <row r="6" spans="1:2" x14ac:dyDescent="0.25">
      <c r="A6" t="s">
        <v>57</v>
      </c>
      <c r="B6" t="s">
        <v>4</v>
      </c>
    </row>
    <row r="7" spans="1:2" s="2" customFormat="1" x14ac:dyDescent="0.25">
      <c r="A7" s="2" t="s">
        <v>58</v>
      </c>
      <c r="B7" s="2" t="s">
        <v>59</v>
      </c>
    </row>
    <row r="8" spans="1:2" s="2" customFormat="1" x14ac:dyDescent="0.25">
      <c r="A8" s="2" t="s">
        <v>60</v>
      </c>
      <c r="B8" s="2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Setup</vt:lpstr>
      <vt:lpstr>Ledger</vt:lpstr>
      <vt:lpstr>Summary</vt:lpstr>
      <vt:lpstr>VERSION</vt:lpstr>
      <vt:lpstr>Bank Transactions</vt:lpstr>
      <vt:lpstr>Credit Card Transactions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2026-10-29T15:59:58Z</dcterms:created>
  <dcterms:modified xsi:type="dcterms:W3CDTF">2026-10-29T15:59:58Z</dcterms:modified>
</cp:coreProperties>
</file>